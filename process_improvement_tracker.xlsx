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  <sheet name="Dashboard" sheetId="2" state="visible" r:id="rId4"/>
    <sheet name="Issue Log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<sst xmlns="http://schemas.openxmlformats.org/spreadsheetml/2006/main" count="143" uniqueCount="107">
  <si>
    <t xml:space="preserve">INSTITUTIONAL PROCESS IMPROVEMENT TRACKER</t>
  </si>
  <si>
    <t xml:space="preserve">Last Updated: June 25, 2026</t>
  </si>
  <si>
    <t xml:space="preserve">Project ID</t>
  </si>
  <si>
    <t xml:space="preserve">Project Name</t>
  </si>
  <si>
    <t xml:space="preserve">Department / Owner</t>
  </si>
  <si>
    <t xml:space="preserve">Category</t>
  </si>
  <si>
    <t xml:space="preserve">Priority</t>
  </si>
  <si>
    <t xml:space="preserve">Start Date</t>
  </si>
  <si>
    <t xml:space="preserve">Target Date</t>
  </si>
  <si>
    <t xml:space="preserve">Actual End Date</t>
  </si>
  <si>
    <t xml:space="preserve">Status</t>
  </si>
  <si>
    <t xml:space="preserve">% Complete</t>
  </si>
  <si>
    <t xml:space="preserve">Requirements</t>
  </si>
  <si>
    <t xml:space="preserve">Key Deliverables</t>
  </si>
  <si>
    <t xml:space="preserve">Milestones</t>
  </si>
  <si>
    <t xml:space="preserve">Issues / Notes</t>
  </si>
  <si>
    <t xml:space="preserve">PI-001</t>
  </si>
  <si>
    <t xml:space="preserve">Student Enrollment Workflow</t>
  </si>
  <si>
    <t xml:space="preserve">Registrar / J. Smith</t>
  </si>
  <si>
    <t xml:space="preserve">Process Redesign</t>
  </si>
  <si>
    <t xml:space="preserve">High</t>
  </si>
  <si>
    <t xml:space="preserve">In Progress</t>
  </si>
  <si>
    <t xml:space="preserve">Map current enrollment steps; identify bottlenecks; obtain stakeholder sign-off</t>
  </si>
  <si>
    <t xml:space="preserve">As-is process map; To-be process map; SOP document; Training guide</t>
  </si>
  <si>
    <t xml:space="preserve">Kickoff (Jan 15) ✓  |  Discovery (Feb 28) ✓  |  Draft SOP (Apr 30) ✓  |  UAT (Jun 15)  |  Go-Live (Jun 30)</t>
  </si>
  <si>
    <t xml:space="preserve">Delay in IT sign-off for portal integration; escalated to CIO on May 3</t>
  </si>
  <si>
    <t xml:space="preserve">PI-002</t>
  </si>
  <si>
    <t xml:space="preserve">Faculty Onboarding Standardization</t>
  </si>
  <si>
    <t xml:space="preserve">HR / M. Patel</t>
  </si>
  <si>
    <t xml:space="preserve">Policy</t>
  </si>
  <si>
    <t xml:space="preserve">Review existing onboarding docs; benchmark peer institutions; draft unified policy</t>
  </si>
  <si>
    <t xml:space="preserve">Benchmark report; Policy draft; Checklist toolkit; Manager guide</t>
  </si>
  <si>
    <t xml:space="preserve">Kickoff (Feb 1) ✓  |  Benchmarking (Mar 31) ✓  |  Draft Policy (May 31)  |  Approval (Jul 15)  |  Launch (Jul 31)</t>
  </si>
  <si>
    <t xml:space="preserve">PI-003</t>
  </si>
  <si>
    <t xml:space="preserve">Budget Reporting Automation</t>
  </si>
  <si>
    <t xml:space="preserve">Finance / R. Chen</t>
  </si>
  <si>
    <t xml:space="preserve">Technology</t>
  </si>
  <si>
    <t xml:space="preserve">Medium</t>
  </si>
  <si>
    <t xml:space="preserve">Define reporting requirements; select BI tool; configure dashboards; train users</t>
  </si>
  <si>
    <t xml:space="preserve">Requirements doc; Vendor selection memo; Power BI dashboards; Training materials</t>
  </si>
  <si>
    <t xml:space="preserve">Kickoff (Mar 1) ✓  |  Requirements (Apr 15) ✓  |  Tool Selection (May 31)  |  Build (Aug 31)  |  Go-Live (Sep 30)</t>
  </si>
  <si>
    <t xml:space="preserve">Awaiting Procurement approval for Power BI license</t>
  </si>
  <si>
    <t xml:space="preserve">PI-004</t>
  </si>
  <si>
    <t xml:space="preserve">FERPA Compliance Audit</t>
  </si>
  <si>
    <t xml:space="preserve">Compliance / T. Davis</t>
  </si>
  <si>
    <t xml:space="preserve">Compliance</t>
  </si>
  <si>
    <t xml:space="preserve">Completed</t>
  </si>
  <si>
    <t xml:space="preserve">Conduct data access audit; review disclosure logs; remediate gaps; document findings</t>
  </si>
  <si>
    <t xml:space="preserve">Audit report; Gap analysis; Remediation plan; Updated disclosure forms</t>
  </si>
  <si>
    <t xml:space="preserve">Kickoff (Nov 1) ✓  |  Audit (Dec 31) ✓  |  Gap Analysis (Jan 31) ✓  |  Remediation (Mar 15) ✓  |  Report (Mar 28) ✓</t>
  </si>
  <si>
    <t xml:space="preserve">Closed. 3 minor gaps remediated; annual re-audit scheduled Nov 2025</t>
  </si>
  <si>
    <t xml:space="preserve">PI-005</t>
  </si>
  <si>
    <t xml:space="preserve">IT Help Desk Ticket SLA Review</t>
  </si>
  <si>
    <t xml:space="preserve">IT / K. Nguyen</t>
  </si>
  <si>
    <t xml:space="preserve">Not Started</t>
  </si>
  <si>
    <t xml:space="preserve">Analyze historical ticket data; define SLA tiers; update escalation policy</t>
  </si>
  <si>
    <t xml:space="preserve">Data analysis report; Revised SLA policy; Escalation matrix; Staff training deck</t>
  </si>
  <si>
    <t xml:space="preserve">Kickoff (Apr 1)  |  Data Analysis (May 31)  |  Policy Draft (Jun 30)  |  Training (Aug 15)  |  Launch (Aug 31)</t>
  </si>
  <si>
    <t xml:space="preserve">Pending resource allocation from IT Director</t>
  </si>
  <si>
    <t xml:space="preserve">PI-006</t>
  </si>
  <si>
    <t xml:space="preserve">Research Grant Submission Process</t>
  </si>
  <si>
    <t xml:space="preserve">Research Office / A. Lopez</t>
  </si>
  <si>
    <t xml:space="preserve">Low</t>
  </si>
  <si>
    <t xml:space="preserve">Interview PIs and grants staff; document pain points; propose streamlined workflow</t>
  </si>
  <si>
    <t xml:space="preserve">Interview findings; Future-state workflow; Revised submission checklist</t>
  </si>
  <si>
    <t xml:space="preserve">Kickoff (May 15)  |  Interviews (Jun 30)  |  Analysis (Aug 31)  |  Draft (Oct 31)  |  Pilot (Nov 30)</t>
  </si>
  <si>
    <t xml:space="preserve">PROJECT IMPROVEMENT – EXECUTIVE DASHBOARD</t>
  </si>
  <si>
    <t xml:space="preserve">Auto-calculated from Project Tracker   |   June 25, 2026</t>
  </si>
  <si>
    <t xml:space="preserve">Total Projects</t>
  </si>
  <si>
    <t xml:space="preserve">Avg % Complete</t>
  </si>
  <si>
    <t xml:space="preserve">STATUS BREAKDOWN</t>
  </si>
  <si>
    <t xml:space="preserve">PRIORITY BREAKDOWN</t>
  </si>
  <si>
    <t xml:space="preserve">On Hold</t>
  </si>
  <si>
    <t xml:space="preserve">Cancelled</t>
  </si>
  <si>
    <t xml:space="preserve">⚠  OVERDUE PROJECTS  (Target Date &lt; Today &amp; Status ≠ Completed)</t>
  </si>
  <si>
    <t xml:space="preserve">Owner</t>
  </si>
  <si>
    <t xml:space="preserve">Use Excel's AutoFilter on the "Project Tracker" sheet (filter Target Date &lt; Today AND Status ≠ Completed) to see overdue projects.</t>
  </si>
  <si>
    <t xml:space="preserve">ISSUE &amp; RISK LOG</t>
  </si>
  <si>
    <t xml:space="preserve">Issue ID</t>
  </si>
  <si>
    <t xml:space="preserve">Date Raised</t>
  </si>
  <si>
    <t xml:space="preserve">Issue / Risk Description</t>
  </si>
  <si>
    <t xml:space="preserve">Impact</t>
  </si>
  <si>
    <t xml:space="preserve">Probability</t>
  </si>
  <si>
    <t xml:space="preserve">Priority Score</t>
  </si>
  <si>
    <t xml:space="preserve">Resolution / Notes</t>
  </si>
  <si>
    <t xml:space="preserve">ISS-001</t>
  </si>
  <si>
    <t xml:space="preserve">IT sign-off delayed for portal integration</t>
  </si>
  <si>
    <t xml:space="preserve">J. Smith (PM)</t>
  </si>
  <si>
    <t xml:space="preserve">Open</t>
  </si>
  <si>
    <t xml:space="preserve">Escalated to CIO on May 3. Follow-up meeting scheduled May 17.</t>
  </si>
  <si>
    <t xml:space="preserve">ISS-002</t>
  </si>
  <si>
    <t xml:space="preserve">Procurement approval pending for Power BI license</t>
  </si>
  <si>
    <t xml:space="preserve">R. Chen (Finance)</t>
  </si>
  <si>
    <t xml:space="preserve">Submitted purchase request #4421. Est. approval May 31.</t>
  </si>
  <si>
    <t xml:space="preserve">ISS-003</t>
  </si>
  <si>
    <t xml:space="preserve">Resource not yet allocated by IT Director</t>
  </si>
  <si>
    <t xml:space="preserve">K. Nguyen (IT)</t>
  </si>
  <si>
    <t xml:space="preserve">Discussed in April 15 steering meeting. Decision expected by May 15.</t>
  </si>
  <si>
    <t xml:space="preserve">HOW TO USE THIS TRACKER</t>
  </si>
  <si>
    <t xml:space="preserve">Project Tracker</t>
  </si>
  <si>
    <t xml:space="preserve">• Each row = one improvement project.
• Use the dropdown menus in Status, Priority, and Category columns.
• Enter % Complete as a decimal (0.75 = 75%).
• Milestones column: use ✓ to mark completed milestones.
• Add new projects below the last filled row.</t>
  </si>
  <si>
    <t xml:space="preserve">Dashboard</t>
  </si>
  <si>
    <t xml:space="preserve">• Automatically recalculates from Project Tracker — no manual entry needed.
• KPI cards update whenever you add or change project data.
• Use AutoFilter on Project Tracker to identify overdue items.</t>
  </si>
  <si>
    <t xml:space="preserve">Issue Log</t>
  </si>
  <si>
    <t xml:space="preserve">• Log any issues or risks that arise during project execution.
• Link each issue to a Project ID for traceability.
• Update Status and Resolution columns as issues are resolved.</t>
  </si>
  <si>
    <t xml:space="preserve">Color Coding</t>
  </si>
  <si>
    <t xml:space="preserve">• Green rows = Completed projects.
• Blue/white rows = Active or not-started projects.
• Grey rows = Not Started projects.
• Dashboard KPI cards reflect live counts.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</si>
</sst>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0%"/>
    <numFmt numFmtId="167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1E6B36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7F7F7F"/>
      <name val="Arial"/>
      <family val="0"/>
      <charset val="1"/>
    </font>
    <font>
      <b val="true"/>
      <sz val="22"/>
      <color rgb="FF703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sz val="10"/>
      <color rgb="FF9C5700"/>
      <name val="Arial"/>
      <family val="0"/>
      <charset val="1"/>
    </font>
    <font>
      <b val="true"/>
      <sz val="10"/>
      <color rgb="FFFF8000"/>
      <name val="Arial"/>
      <family val="0"/>
      <charset val="1"/>
    </font>
    <font>
      <sz val="10"/>
      <color rgb="FFFF8000"/>
      <name val="Arial"/>
      <family val="0"/>
      <charset val="1"/>
    </font>
    <font>
      <b val="true"/>
      <sz val="10"/>
      <color rgb="FF505050"/>
      <name val="Arial"/>
      <family val="0"/>
      <charset val="1"/>
    </font>
    <font>
      <sz val="10"/>
      <color rgb="FF50505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BFF"/>
      </patternFill>
    </fill>
    <fill>
      <patternFill patternType="solid">
        <fgColor rgb="FFEBF3FB"/>
        <bgColor rgb="FFF2F2F2"/>
      </patternFill>
    </fill>
    <fill>
      <patternFill patternType="solid">
        <fgColor rgb="FFC6EFCE"/>
        <bgColor rgb="FFBDD7EE"/>
      </patternFill>
    </fill>
    <fill>
      <patternFill patternType="solid">
        <fgColor rgb="FFF2F2F2"/>
        <bgColor rgb="FFEBF3FB"/>
      </patternFill>
    </fill>
    <fill>
      <patternFill patternType="solid">
        <fgColor rgb="FF1E6B36"/>
        <bgColor rgb="FF276221"/>
      </patternFill>
    </fill>
    <fill>
      <patternFill patternType="solid">
        <fgColor rgb="FF7F7F7F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F7FBFF"/>
        <bgColor rgb="FFFFFFFF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C00000"/>
        <bgColor rgb="FF9C0006"/>
      </patternFill>
    </fill>
    <fill>
      <patternFill patternType="solid">
        <fgColor rgb="FFFFF2CC"/>
        <bgColor rgb="FFFCE4D6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1E6B36"/>
      </left>
      <right style="thin">
        <color rgb="FF1E6B36"/>
      </right>
      <top style="thin">
        <color rgb="FF1E6B36"/>
      </top>
      <bottom style="thin">
        <color rgb="FF1E6B3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FFC000"/>
      </left>
      <right/>
      <top style="thin">
        <color rgb="FFFFC000"/>
      </top>
      <bottom style="thin">
        <color rgb="FFFFC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E6B36"/>
      <rgbColor rgb="FFFCE4D6"/>
      <rgbColor rgb="FF7F7F7F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F7FBFF"/>
      <rgbColor rgb="FFFF99CC"/>
      <rgbColor rgb="FFCC99FF"/>
      <rgbColor rgb="FFFFC7CE"/>
      <rgbColor rgb="FF2E75B6"/>
      <rgbColor rgb="FF33CCCC"/>
      <rgbColor rgb="FF99CC00"/>
      <rgbColor rgb="FFFFC000"/>
      <rgbColor rgb="FFFF8000"/>
      <rgbColor rgb="FFC55A11"/>
      <rgbColor rgb="FF595959"/>
      <rgbColor rgb="FF70AD47"/>
      <rgbColor rgb="FF1F3864"/>
      <rgbColor rgb="FF339966"/>
      <rgbColor rgb="FF003300"/>
      <rgbColor rgb="FF276221"/>
      <rgbColor rgb="FF9C57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3" min="11" style="0" width="32"/>
    <col collapsed="false" customWidth="true" hidden="false" outlineLevel="0" max="14" min="14" style="0" width="3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60" hidden="false" customHeight="true" outlineLevel="0" collapsed="false">
      <c r="A5" s="4" t="s">
        <v>16</v>
      </c>
      <c r="B5" s="5" t="s">
        <v>17</v>
      </c>
      <c r="C5" s="5" t="s">
        <v>18</v>
      </c>
      <c r="D5" s="5" t="s">
        <v>19</v>
      </c>
      <c r="E5" s="4" t="s">
        <v>20</v>
      </c>
      <c r="F5" s="6" t="n">
        <v>45672</v>
      </c>
      <c r="G5" s="6" t="n">
        <v>45838</v>
      </c>
      <c r="H5" s="5"/>
      <c r="I5" s="4" t="s">
        <v>21</v>
      </c>
      <c r="J5" s="7" t="n">
        <v>0.65</v>
      </c>
      <c r="K5" s="5" t="s">
        <v>22</v>
      </c>
      <c r="L5" s="5" t="s">
        <v>23</v>
      </c>
      <c r="M5" s="5" t="s">
        <v>24</v>
      </c>
      <c r="N5" s="5" t="s">
        <v>25</v>
      </c>
    </row>
    <row r="6" customFormat="false" ht="60" hidden="false" customHeight="true" outlineLevel="0" collapsed="false">
      <c r="A6" s="8" t="s">
        <v>26</v>
      </c>
      <c r="B6" s="9" t="s">
        <v>27</v>
      </c>
      <c r="C6" s="9" t="s">
        <v>28</v>
      </c>
      <c r="D6" s="9" t="s">
        <v>29</v>
      </c>
      <c r="E6" s="8" t="s">
        <v>20</v>
      </c>
      <c r="F6" s="10" t="n">
        <v>45689</v>
      </c>
      <c r="G6" s="10" t="n">
        <v>45869</v>
      </c>
      <c r="H6" s="9"/>
      <c r="I6" s="8" t="s">
        <v>21</v>
      </c>
      <c r="J6" s="11" t="n">
        <v>0.4</v>
      </c>
      <c r="K6" s="9" t="s">
        <v>30</v>
      </c>
      <c r="L6" s="9" t="s">
        <v>31</v>
      </c>
      <c r="M6" s="9" t="s">
        <v>32</v>
      </c>
      <c r="N6" s="9"/>
    </row>
    <row r="7" customFormat="false" ht="60" hidden="false" customHeight="true" outlineLevel="0" collapsed="false">
      <c r="A7" s="4" t="s">
        <v>33</v>
      </c>
      <c r="B7" s="5" t="s">
        <v>34</v>
      </c>
      <c r="C7" s="5" t="s">
        <v>35</v>
      </c>
      <c r="D7" s="5" t="s">
        <v>36</v>
      </c>
      <c r="E7" s="4" t="s">
        <v>37</v>
      </c>
      <c r="F7" s="6" t="n">
        <v>45717</v>
      </c>
      <c r="G7" s="6" t="n">
        <v>45930</v>
      </c>
      <c r="H7" s="5"/>
      <c r="I7" s="4" t="s">
        <v>21</v>
      </c>
      <c r="J7" s="7" t="n">
        <v>0.2</v>
      </c>
      <c r="K7" s="5" t="s">
        <v>38</v>
      </c>
      <c r="L7" s="5" t="s">
        <v>39</v>
      </c>
      <c r="M7" s="5" t="s">
        <v>40</v>
      </c>
      <c r="N7" s="5" t="s">
        <v>41</v>
      </c>
    </row>
    <row r="8" customFormat="false" ht="60" hidden="false" customHeight="true" outlineLevel="0" collapsed="false">
      <c r="A8" s="12" t="s">
        <v>42</v>
      </c>
      <c r="B8" s="13" t="s">
        <v>43</v>
      </c>
      <c r="C8" s="13" t="s">
        <v>44</v>
      </c>
      <c r="D8" s="13" t="s">
        <v>45</v>
      </c>
      <c r="E8" s="12" t="s">
        <v>20</v>
      </c>
      <c r="F8" s="14" t="n">
        <v>45597</v>
      </c>
      <c r="G8" s="14" t="n">
        <v>45747</v>
      </c>
      <c r="H8" s="14" t="n">
        <v>45744</v>
      </c>
      <c r="I8" s="12" t="s">
        <v>46</v>
      </c>
      <c r="J8" s="15" t="n">
        <v>1</v>
      </c>
      <c r="K8" s="13" t="s">
        <v>47</v>
      </c>
      <c r="L8" s="13" t="s">
        <v>48</v>
      </c>
      <c r="M8" s="13" t="s">
        <v>49</v>
      </c>
      <c r="N8" s="13" t="s">
        <v>50</v>
      </c>
    </row>
    <row r="9" customFormat="false" ht="60" hidden="false" customHeight="true" outlineLevel="0" collapsed="false">
      <c r="A9" s="16" t="s">
        <v>51</v>
      </c>
      <c r="B9" s="17" t="s">
        <v>52</v>
      </c>
      <c r="C9" s="17" t="s">
        <v>53</v>
      </c>
      <c r="D9" s="17" t="s">
        <v>19</v>
      </c>
      <c r="E9" s="16" t="s">
        <v>37</v>
      </c>
      <c r="F9" s="18" t="n">
        <v>45748</v>
      </c>
      <c r="G9" s="18" t="n">
        <v>45900</v>
      </c>
      <c r="H9" s="17"/>
      <c r="I9" s="16" t="s">
        <v>54</v>
      </c>
      <c r="J9" s="19" t="n">
        <v>0</v>
      </c>
      <c r="K9" s="17" t="s">
        <v>55</v>
      </c>
      <c r="L9" s="17" t="s">
        <v>56</v>
      </c>
      <c r="M9" s="17" t="s">
        <v>57</v>
      </c>
      <c r="N9" s="17" t="s">
        <v>58</v>
      </c>
    </row>
    <row r="10" customFormat="false" ht="60" hidden="false" customHeight="true" outlineLevel="0" collapsed="false">
      <c r="A10" s="16" t="s">
        <v>59</v>
      </c>
      <c r="B10" s="17" t="s">
        <v>60</v>
      </c>
      <c r="C10" s="17" t="s">
        <v>61</v>
      </c>
      <c r="D10" s="17" t="s">
        <v>19</v>
      </c>
      <c r="E10" s="16" t="s">
        <v>62</v>
      </c>
      <c r="F10" s="18" t="n">
        <v>45792</v>
      </c>
      <c r="G10" s="18" t="n">
        <v>45991</v>
      </c>
      <c r="H10" s="17"/>
      <c r="I10" s="16" t="s">
        <v>54</v>
      </c>
      <c r="J10" s="19" t="n">
        <v>0</v>
      </c>
      <c r="K10" s="17" t="s">
        <v>63</v>
      </c>
      <c r="L10" s="17" t="s">
        <v>64</v>
      </c>
      <c r="M10" s="17" t="s">
        <v>65</v>
      </c>
      <c r="N10" s="17"/>
    </row>
    <row r="11" customFormat="false" ht="39.75" hidden="false" customHeight="true" outlineLevel="0" collapsed="false">
      <c r="A11" s="4"/>
      <c r="B11" s="5"/>
      <c r="C11" s="5"/>
      <c r="D11" s="5"/>
      <c r="E11" s="4"/>
      <c r="F11" s="5"/>
      <c r="G11" s="5"/>
      <c r="H11" s="5"/>
      <c r="I11" s="4"/>
      <c r="J11" s="4"/>
      <c r="K11" s="5"/>
      <c r="L11" s="5"/>
      <c r="M11" s="5"/>
      <c r="N11" s="5"/>
    </row>
    <row r="12" customFormat="false" ht="39.75" hidden="false" customHeight="true" outlineLevel="0" collapsed="false">
      <c r="A12" s="8"/>
      <c r="B12" s="9"/>
      <c r="C12" s="9"/>
      <c r="D12" s="9"/>
      <c r="E12" s="8"/>
      <c r="F12" s="9"/>
      <c r="G12" s="9"/>
      <c r="H12" s="9"/>
      <c r="I12" s="8"/>
      <c r="J12" s="8"/>
      <c r="K12" s="9"/>
      <c r="L12" s="9"/>
      <c r="M12" s="9"/>
      <c r="N12" s="9"/>
    </row>
    <row r="13" customFormat="false" ht="39.75" hidden="false" customHeight="true" outlineLevel="0" collapsed="false">
      <c r="A13" s="4"/>
      <c r="B13" s="5"/>
      <c r="C13" s="5"/>
      <c r="D13" s="5"/>
      <c r="E13" s="4"/>
      <c r="F13" s="5"/>
      <c r="G13" s="5"/>
      <c r="H13" s="5"/>
      <c r="I13" s="4"/>
      <c r="J13" s="4"/>
      <c r="K13" s="5"/>
      <c r="L13" s="5"/>
      <c r="M13" s="5"/>
      <c r="N13" s="5"/>
    </row>
    <row r="14" customFormat="false" ht="39.75" hidden="false" customHeight="true" outlineLevel="0" collapsed="false">
      <c r="A14" s="8"/>
      <c r="B14" s="9"/>
      <c r="C14" s="9"/>
      <c r="D14" s="9"/>
      <c r="E14" s="8"/>
      <c r="F14" s="9"/>
      <c r="G14" s="9"/>
      <c r="H14" s="9"/>
      <c r="I14" s="8"/>
      <c r="J14" s="8"/>
      <c r="K14" s="9"/>
      <c r="L14" s="9"/>
      <c r="M14" s="9"/>
      <c r="N14" s="9"/>
    </row>
    <row r="15" customFormat="false" ht="39.75" hidden="false" customHeight="true" outlineLevel="0" collapsed="false">
      <c r="A15" s="4"/>
      <c r="B15" s="5"/>
      <c r="C15" s="5"/>
      <c r="D15" s="5"/>
      <c r="E15" s="4"/>
      <c r="F15" s="5"/>
      <c r="G15" s="5"/>
      <c r="H15" s="5"/>
      <c r="I15" s="4"/>
      <c r="J15" s="4"/>
      <c r="K15" s="5"/>
      <c r="L15" s="5"/>
      <c r="M15" s="5"/>
      <c r="N15" s="5"/>
    </row>
    <row r="16" customFormat="false" ht="39.75" hidden="false" customHeight="true" outlineLevel="0" collapsed="false">
      <c r="A16" s="8"/>
      <c r="B16" s="9"/>
      <c r="C16" s="9"/>
      <c r="D16" s="9"/>
      <c r="E16" s="8"/>
      <c r="F16" s="9"/>
      <c r="G16" s="9"/>
      <c r="H16" s="9"/>
      <c r="I16" s="8"/>
      <c r="J16" s="8"/>
      <c r="K16" s="9"/>
      <c r="L16" s="9"/>
      <c r="M16" s="9"/>
      <c r="N16" s="9"/>
    </row>
    <row r="17" customFormat="false" ht="39.75" hidden="false" customHeight="true" outlineLevel="0" collapsed="false">
      <c r="A17" s="4"/>
      <c r="B17" s="5"/>
      <c r="C17" s="5"/>
      <c r="D17" s="5"/>
      <c r="E17" s="4"/>
      <c r="F17" s="5"/>
      <c r="G17" s="5"/>
      <c r="H17" s="5"/>
      <c r="I17" s="4"/>
      <c r="J17" s="4"/>
      <c r="K17" s="5"/>
      <c r="L17" s="5"/>
      <c r="M17" s="5"/>
      <c r="N17" s="5"/>
    </row>
    <row r="18" customFormat="false" ht="39.75" hidden="false" customHeight="true" outlineLevel="0" collapsed="false">
      <c r="A18" s="8"/>
      <c r="B18" s="9"/>
      <c r="C18" s="9"/>
      <c r="D18" s="9"/>
      <c r="E18" s="8"/>
      <c r="F18" s="9"/>
      <c r="G18" s="9"/>
      <c r="H18" s="9"/>
      <c r="I18" s="8"/>
      <c r="J18" s="8"/>
      <c r="K18" s="9"/>
      <c r="L18" s="9"/>
      <c r="M18" s="9"/>
      <c r="N18" s="9"/>
    </row>
    <row r="19" customFormat="false" ht="39.75" hidden="false" customHeight="true" outlineLevel="0" collapsed="false">
      <c r="A19" s="4"/>
      <c r="B19" s="5"/>
      <c r="C19" s="5"/>
      <c r="D19" s="5"/>
      <c r="E19" s="4"/>
      <c r="F19" s="5"/>
      <c r="G19" s="5"/>
      <c r="H19" s="5"/>
      <c r="I19" s="4"/>
      <c r="J19" s="4"/>
      <c r="K19" s="5"/>
      <c r="L19" s="5"/>
      <c r="M19" s="5"/>
      <c r="N19" s="5"/>
    </row>
    <row r="20" customFormat="false" ht="39.75" hidden="false" customHeight="true" outlineLevel="0" collapsed="false">
      <c r="A20" s="8"/>
      <c r="B20" s="9"/>
      <c r="C20" s="9"/>
      <c r="D20" s="9"/>
      <c r="E20" s="8"/>
      <c r="F20" s="9"/>
      <c r="G20" s="9"/>
      <c r="H20" s="9"/>
      <c r="I20" s="8"/>
      <c r="J20" s="8"/>
      <c r="K20" s="9"/>
      <c r="L20" s="9"/>
      <c r="M20" s="9"/>
      <c r="N20" s="9"/>
    </row>
    <row r="21" customFormat="false" ht="39.75" hidden="false" customHeight="true" outlineLevel="0" collapsed="false">
      <c r="A21" s="4"/>
      <c r="B21" s="5"/>
      <c r="C21" s="5"/>
      <c r="D21" s="5"/>
      <c r="E21" s="4"/>
      <c r="F21" s="5"/>
      <c r="G21" s="5"/>
      <c r="H21" s="5"/>
      <c r="I21" s="4"/>
      <c r="J21" s="4"/>
      <c r="K21" s="5"/>
      <c r="L21" s="5"/>
      <c r="M21" s="5"/>
      <c r="N21" s="5"/>
    </row>
    <row r="22" customFormat="false" ht="39.75" hidden="false" customHeight="true" outlineLevel="0" collapsed="false">
      <c r="A22" s="8"/>
      <c r="B22" s="9"/>
      <c r="C22" s="9"/>
      <c r="D22" s="9"/>
      <c r="E22" s="8"/>
      <c r="F22" s="9"/>
      <c r="G22" s="9"/>
      <c r="H22" s="9"/>
      <c r="I22" s="8"/>
      <c r="J22" s="8"/>
      <c r="K22" s="9"/>
      <c r="L22" s="9"/>
      <c r="M22" s="9"/>
      <c r="N22" s="9"/>
    </row>
    <row r="23" customFormat="false" ht="39.75" hidden="false" customHeight="true" outlineLevel="0" collapsed="false">
      <c r="A23" s="4"/>
      <c r="B23" s="5"/>
      <c r="C23" s="5"/>
      <c r="D23" s="5"/>
      <c r="E23" s="4"/>
      <c r="F23" s="5"/>
      <c r="G23" s="5"/>
      <c r="H23" s="5"/>
      <c r="I23" s="4"/>
      <c r="J23" s="4"/>
      <c r="K23" s="5"/>
      <c r="L23" s="5"/>
      <c r="M23" s="5"/>
      <c r="N23" s="5"/>
    </row>
    <row r="24" customFormat="false" ht="39.75" hidden="false" customHeight="true" outlineLevel="0" collapsed="false">
      <c r="A24" s="8"/>
      <c r="B24" s="9"/>
      <c r="C24" s="9"/>
      <c r="D24" s="9"/>
      <c r="E24" s="8"/>
      <c r="F24" s="9"/>
      <c r="G24" s="9"/>
      <c r="H24" s="9"/>
      <c r="I24" s="8"/>
      <c r="J24" s="8"/>
      <c r="K24" s="9"/>
      <c r="L24" s="9"/>
      <c r="M24" s="9"/>
      <c r="N24" s="9"/>
    </row>
    <row r="25" customFormat="false" ht="39.75" hidden="false" customHeight="true" outlineLevel="0" collapsed="false">
      <c r="A25" s="4"/>
      <c r="B25" s="5"/>
      <c r="C25" s="5"/>
      <c r="D25" s="5"/>
      <c r="E25" s="4"/>
      <c r="F25" s="5"/>
      <c r="G25" s="5"/>
      <c r="H25" s="5"/>
      <c r="I25" s="4"/>
      <c r="J25" s="4"/>
      <c r="K25" s="5"/>
      <c r="L25" s="5"/>
      <c r="M25" s="5"/>
      <c r="N25" s="5"/>
    </row>
  </sheetData>
  <mergeCells count="2">
    <mergeCell ref="A1:N1"/>
    <mergeCell ref="A2:N2"/>
  </mergeCells>
  <dataValidations count="4">
    <dataValidation allowBlank="false" error="Choose a value from the list." errorStyle="stop" errorTitle="Invalid Status" operator="between" showDropDown="false" showErrorMessage="true" showInputMessage="false" sqref="I5:I25" type="list">
      <formula1>"Not Started,In Progress,On Hold,Completed,Cancelled"</formula1>
      <formula2>0</formula2>
    </dataValidation>
    <dataValidation allowBlank="false" errorStyle="stop" operator="between" showDropDown="false" showErrorMessage="false" showInputMessage="false" sqref="E5:E25" type="list">
      <formula1>"High,Medium,Low"</formula1>
      <formula2>0</formula2>
    </dataValidation>
    <dataValidation allowBlank="false" errorStyle="stop" operator="between" showDropDown="false" showErrorMessage="false" showInputMessage="false" sqref="D5:D25" type="list">
      <formula1>"Process Redesign,Compliance,Technology,Training,Policy,Other"</formula1>
      <formula2>0</formula2>
    </dataValidation>
    <dataValidation allowBlank="false" error="Enter a value between 0 and 1 (e.g. 0.75 for 75%)" errorStyle="stop" errorTitle="Invalid %" operator="between" showDropDown="false" showErrorMessage="true" showInputMessage="false" sqref="J5:J2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"/>
    <col collapsed="false" customWidth="true" hidden="false" outlineLevel="0" max="11" min="10" style="0" width="12"/>
  </cols>
  <sheetData>
    <row r="2" customFormat="false" ht="33.75" hidden="false" customHeight="true" outlineLevel="0" collapsed="false">
      <c r="B2" s="20" t="s">
        <v>66</v>
      </c>
      <c r="C2" s="20"/>
      <c r="D2" s="20"/>
      <c r="E2" s="20"/>
      <c r="F2" s="20"/>
      <c r="G2" s="20"/>
      <c r="H2" s="20"/>
      <c r="I2" s="20"/>
      <c r="J2" s="20"/>
      <c r="K2" s="20"/>
    </row>
    <row r="3" customFormat="false" ht="18" hidden="false" customHeight="true" outlineLevel="0" collapsed="false">
      <c r="B3" s="2" t="s">
        <v>67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24" hidden="false" customHeight="true" outlineLevel="0" collapsed="false">
      <c r="B5" s="21" t="s">
        <v>68</v>
      </c>
      <c r="C5" s="21"/>
      <c r="D5" s="22" t="s">
        <v>46</v>
      </c>
      <c r="E5" s="22"/>
      <c r="F5" s="23" t="s">
        <v>21</v>
      </c>
      <c r="G5" s="23"/>
      <c r="H5" s="24" t="s">
        <v>54</v>
      </c>
      <c r="I5" s="24"/>
      <c r="J5" s="25" t="s">
        <v>69</v>
      </c>
      <c r="K5" s="25"/>
    </row>
    <row r="6" customFormat="false" ht="24" hidden="false" customHeight="true" outlineLevel="0" collapsed="false">
      <c r="B6" s="21"/>
      <c r="C6" s="21"/>
      <c r="D6" s="22"/>
      <c r="E6" s="22"/>
      <c r="F6" s="23"/>
      <c r="G6" s="23"/>
      <c r="H6" s="24"/>
      <c r="I6" s="24"/>
      <c r="J6" s="25"/>
      <c r="K6" s="25"/>
    </row>
    <row r="7" customFormat="false" ht="24" hidden="false" customHeight="true" outlineLevel="0" collapsed="false">
      <c r="B7" s="26" t="n">
        <f aca="false">COUNTA('Project Tracker'!B5:B50)</f>
        <v>6</v>
      </c>
      <c r="C7" s="26"/>
      <c r="D7" s="27" t="n">
        <f aca="false">COUNTIF('Project Tracker'!I5:I50,"Completed")</f>
        <v>1</v>
      </c>
      <c r="E7" s="27"/>
      <c r="F7" s="28" t="n">
        <f aca="false">COUNTIF('Project Tracker'!I5:I50,"In Progress")</f>
        <v>3</v>
      </c>
      <c r="G7" s="28"/>
      <c r="H7" s="29" t="n">
        <f aca="false">COUNTIF('Project Tracker'!I5:I50,"Not Started")</f>
        <v>2</v>
      </c>
      <c r="I7" s="29"/>
      <c r="J7" s="30" t="n">
        <f aca="false">IFERROR(AVERAGEIF('Project Tracker'!I5:I50,"&lt;&gt;",'Project Tracker'!J5:J50),0)</f>
        <v>0.375</v>
      </c>
      <c r="K7" s="30"/>
    </row>
    <row r="8" customFormat="false" ht="24" hidden="false" customHeight="true" outlineLevel="0" collapsed="false">
      <c r="B8" s="26"/>
      <c r="C8" s="26"/>
      <c r="D8" s="27"/>
      <c r="E8" s="27"/>
      <c r="F8" s="28"/>
      <c r="G8" s="28"/>
      <c r="H8" s="29"/>
      <c r="I8" s="29"/>
      <c r="J8" s="30"/>
      <c r="K8" s="30"/>
    </row>
    <row r="10" customFormat="false" ht="9.75" hidden="false" customHeight="true" outlineLevel="0" collapsed="false"/>
    <row r="11" customFormat="false" ht="25.5" hidden="false" customHeight="true" outlineLevel="0" collapsed="false">
      <c r="B11" s="31" t="s">
        <v>70</v>
      </c>
      <c r="C11" s="31"/>
      <c r="D11" s="31"/>
      <c r="E11" s="31"/>
      <c r="G11" s="31" t="s">
        <v>71</v>
      </c>
      <c r="H11" s="31"/>
      <c r="I11" s="31"/>
      <c r="J11" s="31"/>
      <c r="K11" s="31"/>
    </row>
    <row r="12" customFormat="false" ht="21.75" hidden="false" customHeight="true" outlineLevel="0" collapsed="false">
      <c r="B12" s="32" t="s">
        <v>46</v>
      </c>
      <c r="C12" s="33" t="n">
        <f aca="false">COUNTIF('Project Tracker'!I5:I50,"Completed")</f>
        <v>1</v>
      </c>
      <c r="D12" s="33"/>
      <c r="E12" s="34" t="n">
        <f aca="false">IFERROR(COUNTIF('Project Tracker'!I5:I50,"Completed")/COUNTA('Project Tracker'!B5:B50),0)</f>
        <v>0.166666666666667</v>
      </c>
      <c r="G12" s="35" t="s">
        <v>20</v>
      </c>
      <c r="H12" s="36" t="n">
        <f aca="false">COUNTIF('Project Tracker'!E5:E50,"High")</f>
        <v>3</v>
      </c>
      <c r="I12" s="36"/>
      <c r="J12" s="37" t="n">
        <f aca="false">IFERROR(COUNTIF('Project Tracker'!E5:E50,"High")/COUNTA('Project Tracker'!B5:B50),0)</f>
        <v>0.5</v>
      </c>
    </row>
    <row r="13" customFormat="false" ht="21.75" hidden="false" customHeight="true" outlineLevel="0" collapsed="false">
      <c r="B13" s="38" t="s">
        <v>21</v>
      </c>
      <c r="C13" s="39" t="n">
        <f aca="false">COUNTIF('Project Tracker'!I5:I50,"In Progress")</f>
        <v>3</v>
      </c>
      <c r="D13" s="39"/>
      <c r="E13" s="40" t="n">
        <f aca="false">IFERROR(COUNTIF('Project Tracker'!I5:I50,"In Progress")/COUNTA('Project Tracker'!B5:B50),0)</f>
        <v>0.5</v>
      </c>
      <c r="G13" s="41" t="s">
        <v>37</v>
      </c>
      <c r="H13" s="42" t="n">
        <f aca="false">COUNTIF('Project Tracker'!E5:E50,"Medium")</f>
        <v>2</v>
      </c>
      <c r="I13" s="42"/>
      <c r="J13" s="43" t="n">
        <f aca="false">IFERROR(COUNTIF('Project Tracker'!E5:E50,"Medium")/COUNTA('Project Tracker'!B5:B50),0)</f>
        <v>0.333333333333333</v>
      </c>
    </row>
    <row r="14" customFormat="false" ht="21.75" hidden="false" customHeight="true" outlineLevel="0" collapsed="false">
      <c r="B14" s="44" t="s">
        <v>54</v>
      </c>
      <c r="C14" s="45" t="n">
        <f aca="false">COUNTIF('Project Tracker'!I5:I50,"Not Started")</f>
        <v>2</v>
      </c>
      <c r="D14" s="45"/>
      <c r="E14" s="46" t="n">
        <f aca="false">IFERROR(COUNTIF('Project Tracker'!I5:I50,"Not Started")/COUNTA('Project Tracker'!B5:B50),0)</f>
        <v>0.333333333333333</v>
      </c>
      <c r="G14" s="47" t="s">
        <v>62</v>
      </c>
      <c r="H14" s="48" t="n">
        <f aca="false">COUNTIF('Project Tracker'!E5:E50,"Low")</f>
        <v>1</v>
      </c>
      <c r="I14" s="48"/>
      <c r="J14" s="49" t="n">
        <f aca="false">IFERROR(COUNTIF('Project Tracker'!E5:E50,"Low")/COUNTA('Project Tracker'!B5:B50),0)</f>
        <v>0.166666666666667</v>
      </c>
    </row>
    <row r="15" customFormat="false" ht="21.75" hidden="false" customHeight="true" outlineLevel="0" collapsed="false">
      <c r="B15" s="50" t="s">
        <v>72</v>
      </c>
      <c r="C15" s="51" t="n">
        <f aca="false">COUNTIF('Project Tracker'!I5:I50,"On Hold")</f>
        <v>0</v>
      </c>
      <c r="D15" s="51"/>
      <c r="E15" s="52" t="n">
        <f aca="false">IFERROR(COUNTIF('Project Tracker'!I5:I50,"On Hold")/COUNTA('Project Tracker'!B5:B50),0)</f>
        <v>0</v>
      </c>
    </row>
    <row r="16" customFormat="false" ht="21.75" hidden="false" customHeight="true" outlineLevel="0" collapsed="false">
      <c r="B16" s="53" t="s">
        <v>73</v>
      </c>
      <c r="C16" s="54" t="n">
        <f aca="false">COUNTIF('Project Tracker'!I5:I50,"Cancelled")</f>
        <v>0</v>
      </c>
      <c r="D16" s="54"/>
      <c r="E16" s="55" t="n">
        <f aca="false">IFERROR(COUNTIF('Project Tracker'!I5:I50,"Cancelled")/COUNTA('Project Tracker'!B5:B50),0)</f>
        <v>0</v>
      </c>
    </row>
    <row r="18" customFormat="false" ht="9.75" hidden="false" customHeight="true" outlineLevel="0" collapsed="false"/>
    <row r="19" customFormat="false" ht="25.5" hidden="false" customHeight="true" outlineLevel="0" collapsed="false">
      <c r="B19" s="56" t="s">
        <v>74</v>
      </c>
      <c r="C19" s="56"/>
      <c r="D19" s="56"/>
      <c r="E19" s="56"/>
      <c r="F19" s="56"/>
      <c r="G19" s="56"/>
      <c r="H19" s="56"/>
      <c r="I19" s="56"/>
      <c r="J19" s="56"/>
      <c r="K19" s="56"/>
    </row>
    <row r="20" customFormat="false" ht="25.5" hidden="false" customHeight="true" outlineLevel="0" collapsed="false">
      <c r="B20" s="57" t="s">
        <v>2</v>
      </c>
      <c r="C20" s="57" t="s">
        <v>3</v>
      </c>
      <c r="E20" s="57" t="s">
        <v>75</v>
      </c>
      <c r="G20" s="57" t="s">
        <v>8</v>
      </c>
      <c r="I20" s="57" t="s">
        <v>10</v>
      </c>
      <c r="K20" s="57" t="s">
        <v>11</v>
      </c>
    </row>
    <row r="21" customFormat="false" ht="31.5" hidden="false" customHeight="true" outlineLevel="0" collapsed="false">
      <c r="B21" s="58" t="s">
        <v>76</v>
      </c>
      <c r="C21" s="58"/>
      <c r="D21" s="58"/>
      <c r="E21" s="58"/>
      <c r="F21" s="58"/>
      <c r="G21" s="58"/>
      <c r="H21" s="58"/>
      <c r="I21" s="58"/>
      <c r="J21" s="58"/>
      <c r="K21" s="58"/>
    </row>
  </sheetData>
  <mergeCells count="24">
    <mergeCell ref="B2:K2"/>
    <mergeCell ref="B3:K3"/>
    <mergeCell ref="B5:C6"/>
    <mergeCell ref="D5:E6"/>
    <mergeCell ref="F5:G6"/>
    <mergeCell ref="H5:I6"/>
    <mergeCell ref="J5:K6"/>
    <mergeCell ref="B7:C8"/>
    <mergeCell ref="D7:E8"/>
    <mergeCell ref="F7:G8"/>
    <mergeCell ref="H7:I8"/>
    <mergeCell ref="J7:K8"/>
    <mergeCell ref="B11:E11"/>
    <mergeCell ref="G11:K11"/>
    <mergeCell ref="C12:D12"/>
    <mergeCell ref="H12:I12"/>
    <mergeCell ref="C13:D13"/>
    <mergeCell ref="H13:I13"/>
    <mergeCell ref="C14:D14"/>
    <mergeCell ref="H14:I14"/>
    <mergeCell ref="C15:D15"/>
    <mergeCell ref="C16:D16"/>
    <mergeCell ref="B19:K19"/>
    <mergeCell ref="B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59" t="s">
        <v>77</v>
      </c>
      <c r="B1" s="59"/>
      <c r="C1" s="59"/>
      <c r="D1" s="59"/>
      <c r="E1" s="59"/>
      <c r="F1" s="59"/>
      <c r="G1" s="59"/>
      <c r="H1" s="59"/>
      <c r="I1" s="59"/>
      <c r="J1" s="59"/>
    </row>
    <row r="2" customFormat="false" ht="7.5" hidden="false" customHeight="true" outlineLevel="0" collapsed="false"/>
    <row r="3" customFormat="false" ht="36" hidden="false" customHeight="true" outlineLevel="0" collapsed="false">
      <c r="A3" s="60" t="s">
        <v>78</v>
      </c>
      <c r="B3" s="60" t="s">
        <v>2</v>
      </c>
      <c r="C3" s="60" t="s">
        <v>79</v>
      </c>
      <c r="D3" s="60" t="s">
        <v>80</v>
      </c>
      <c r="E3" s="60" t="s">
        <v>81</v>
      </c>
      <c r="F3" s="60" t="s">
        <v>82</v>
      </c>
      <c r="G3" s="60" t="s">
        <v>83</v>
      </c>
      <c r="H3" s="60" t="s">
        <v>75</v>
      </c>
      <c r="I3" s="60" t="s">
        <v>10</v>
      </c>
      <c r="J3" s="60" t="s">
        <v>84</v>
      </c>
    </row>
    <row r="4" customFormat="false" ht="49.5" hidden="false" customHeight="true" outlineLevel="0" collapsed="false">
      <c r="A4" s="8" t="s">
        <v>85</v>
      </c>
      <c r="B4" s="8" t="s">
        <v>16</v>
      </c>
      <c r="C4" s="10" t="n">
        <v>45780</v>
      </c>
      <c r="D4" s="9" t="s">
        <v>86</v>
      </c>
      <c r="E4" s="8" t="s">
        <v>20</v>
      </c>
      <c r="F4" s="8" t="s">
        <v>37</v>
      </c>
      <c r="G4" s="8" t="str">
        <f aca="false">E4&amp;" / "&amp;F4</f>
        <v>High / Medium</v>
      </c>
      <c r="H4" s="9" t="s">
        <v>87</v>
      </c>
      <c r="I4" s="8" t="s">
        <v>88</v>
      </c>
      <c r="J4" s="9" t="s">
        <v>89</v>
      </c>
    </row>
    <row r="5" customFormat="false" ht="49.5" hidden="false" customHeight="true" outlineLevel="0" collapsed="false">
      <c r="A5" s="4" t="s">
        <v>90</v>
      </c>
      <c r="B5" s="4" t="s">
        <v>33</v>
      </c>
      <c r="C5" s="6" t="n">
        <v>45767</v>
      </c>
      <c r="D5" s="5" t="s">
        <v>91</v>
      </c>
      <c r="E5" s="4" t="s">
        <v>37</v>
      </c>
      <c r="F5" s="4" t="s">
        <v>62</v>
      </c>
      <c r="G5" s="4" t="str">
        <f aca="false">E5&amp;" / "&amp;F5</f>
        <v>Medium / Low</v>
      </c>
      <c r="H5" s="5" t="s">
        <v>92</v>
      </c>
      <c r="I5" s="4" t="s">
        <v>88</v>
      </c>
      <c r="J5" s="5" t="s">
        <v>93</v>
      </c>
    </row>
    <row r="6" customFormat="false" ht="49.5" hidden="false" customHeight="true" outlineLevel="0" collapsed="false">
      <c r="A6" s="8" t="s">
        <v>94</v>
      </c>
      <c r="B6" s="8" t="s">
        <v>51</v>
      </c>
      <c r="C6" s="10" t="n">
        <v>45748</v>
      </c>
      <c r="D6" s="9" t="s">
        <v>95</v>
      </c>
      <c r="E6" s="8" t="s">
        <v>20</v>
      </c>
      <c r="F6" s="8" t="s">
        <v>20</v>
      </c>
      <c r="G6" s="8" t="str">
        <f aca="false">E6&amp;" / "&amp;F6</f>
        <v>High / High</v>
      </c>
      <c r="H6" s="9" t="s">
        <v>96</v>
      </c>
      <c r="I6" s="8" t="s">
        <v>88</v>
      </c>
      <c r="J6" s="9" t="s">
        <v>97</v>
      </c>
    </row>
    <row r="7" customFormat="false" ht="36" hidden="false" customHeight="true" outlineLevel="0" collapsed="false">
      <c r="A7" s="4"/>
      <c r="B7" s="4"/>
      <c r="C7" s="5"/>
      <c r="D7" s="5"/>
      <c r="E7" s="4"/>
      <c r="F7" s="4"/>
      <c r="G7" s="4"/>
      <c r="H7" s="5"/>
      <c r="I7" s="4"/>
      <c r="J7" s="5"/>
    </row>
    <row r="8" customFormat="false" ht="36" hidden="false" customHeight="true" outlineLevel="0" collapsed="false">
      <c r="A8" s="8"/>
      <c r="B8" s="8"/>
      <c r="C8" s="9"/>
      <c r="D8" s="9"/>
      <c r="E8" s="8"/>
      <c r="F8" s="8"/>
      <c r="G8" s="8"/>
      <c r="H8" s="9"/>
      <c r="I8" s="8"/>
      <c r="J8" s="9"/>
    </row>
    <row r="9" customFormat="false" ht="36" hidden="false" customHeight="true" outlineLevel="0" collapsed="false">
      <c r="A9" s="4"/>
      <c r="B9" s="4"/>
      <c r="C9" s="5"/>
      <c r="D9" s="5"/>
      <c r="E9" s="4"/>
      <c r="F9" s="4"/>
      <c r="G9" s="4"/>
      <c r="H9" s="5"/>
      <c r="I9" s="4"/>
      <c r="J9" s="5"/>
    </row>
    <row r="10" customFormat="false" ht="36" hidden="false" customHeight="true" outlineLevel="0" collapsed="false">
      <c r="A10" s="8"/>
      <c r="B10" s="8"/>
      <c r="C10" s="9"/>
      <c r="D10" s="9"/>
      <c r="E10" s="8"/>
      <c r="F10" s="8"/>
      <c r="G10" s="8"/>
      <c r="H10" s="9"/>
      <c r="I10" s="8"/>
      <c r="J10" s="9"/>
    </row>
    <row r="11" customFormat="false" ht="36" hidden="false" customHeight="true" outlineLevel="0" collapsed="false">
      <c r="A11" s="4"/>
      <c r="B11" s="4"/>
      <c r="C11" s="5"/>
      <c r="D11" s="5"/>
      <c r="E11" s="4"/>
      <c r="F11" s="4"/>
      <c r="G11" s="4"/>
      <c r="H11" s="5"/>
      <c r="I11" s="4"/>
      <c r="J11" s="5"/>
    </row>
    <row r="12" customFormat="false" ht="36" hidden="false" customHeight="true" outlineLevel="0" collapsed="false">
      <c r="A12" s="8"/>
      <c r="B12" s="8"/>
      <c r="C12" s="9"/>
      <c r="D12" s="9"/>
      <c r="E12" s="8"/>
      <c r="F12" s="8"/>
      <c r="G12" s="8"/>
      <c r="H12" s="9"/>
      <c r="I12" s="8"/>
      <c r="J12" s="9"/>
    </row>
    <row r="13" customFormat="false" ht="36" hidden="false" customHeight="true" outlineLevel="0" collapsed="false">
      <c r="A13" s="4"/>
      <c r="B13" s="4"/>
      <c r="C13" s="5"/>
      <c r="D13" s="5"/>
      <c r="E13" s="4"/>
      <c r="F13" s="4"/>
      <c r="G13" s="4"/>
      <c r="H13" s="5"/>
      <c r="I13" s="4"/>
      <c r="J13" s="5"/>
    </row>
    <row r="14" customFormat="false" ht="36" hidden="false" customHeight="true" outlineLevel="0" collapsed="false">
      <c r="A14" s="8"/>
      <c r="B14" s="8"/>
      <c r="C14" s="9"/>
      <c r="D14" s="9"/>
      <c r="E14" s="8"/>
      <c r="F14" s="8"/>
      <c r="G14" s="8"/>
      <c r="H14" s="9"/>
      <c r="I14" s="8"/>
      <c r="J14" s="9"/>
    </row>
    <row r="15" customFormat="false" ht="36" hidden="false" customHeight="true" outlineLevel="0" collapsed="false">
      <c r="A15" s="4"/>
      <c r="B15" s="4"/>
      <c r="C15" s="5"/>
      <c r="D15" s="5"/>
      <c r="E15" s="4"/>
      <c r="F15" s="4"/>
      <c r="G15" s="4"/>
      <c r="H15" s="5"/>
      <c r="I15" s="4"/>
      <c r="J15" s="5"/>
    </row>
    <row r="16" customFormat="false" ht="36" hidden="false" customHeight="true" outlineLevel="0" collapsed="false">
      <c r="A16" s="8"/>
      <c r="B16" s="8"/>
      <c r="C16" s="9"/>
      <c r="D16" s="9"/>
      <c r="E16" s="8"/>
      <c r="F16" s="8"/>
      <c r="G16" s="8"/>
      <c r="H16" s="9"/>
      <c r="I16" s="8"/>
      <c r="J16" s="9"/>
    </row>
    <row r="17" customFormat="false" ht="36" hidden="false" customHeight="true" outlineLevel="0" collapsed="false">
      <c r="A17" s="4"/>
      <c r="B17" s="4"/>
      <c r="C17" s="5"/>
      <c r="D17" s="5"/>
      <c r="E17" s="4"/>
      <c r="F17" s="4"/>
      <c r="G17" s="4"/>
      <c r="H17" s="5"/>
      <c r="I17" s="4"/>
      <c r="J17" s="5"/>
    </row>
    <row r="18" customFormat="false" ht="36" hidden="false" customHeight="true" outlineLevel="0" collapsed="false">
      <c r="A18" s="8"/>
      <c r="B18" s="8"/>
      <c r="C18" s="9"/>
      <c r="D18" s="9"/>
      <c r="E18" s="8"/>
      <c r="F18" s="8"/>
      <c r="G18" s="8"/>
      <c r="H18" s="9"/>
      <c r="I18" s="8"/>
      <c r="J18" s="9"/>
    </row>
    <row r="19" customFormat="false" ht="36" hidden="false" customHeight="true" outlineLevel="0" collapsed="false">
      <c r="A19" s="4"/>
      <c r="B19" s="4"/>
      <c r="C19" s="5"/>
      <c r="D19" s="5"/>
      <c r="E19" s="4"/>
      <c r="F19" s="4"/>
      <c r="G19" s="4"/>
      <c r="H19" s="5"/>
      <c r="I19" s="4"/>
      <c r="J19" s="5"/>
    </row>
    <row r="20" customFormat="false" ht="36" hidden="false" customHeight="true" outlineLevel="0" collapsed="false">
      <c r="A20" s="8"/>
      <c r="B20" s="8"/>
      <c r="C20" s="9"/>
      <c r="D20" s="9"/>
      <c r="E20" s="8"/>
      <c r="F20" s="8"/>
      <c r="G20" s="8"/>
      <c r="H20" s="9"/>
      <c r="I20" s="8"/>
      <c r="J20" s="9"/>
    </row>
    <row r="21" customFormat="false" ht="36" hidden="false" customHeight="true" outlineLevel="0" collapsed="false">
      <c r="A21" s="4"/>
      <c r="B21" s="4"/>
      <c r="C21" s="5"/>
      <c r="D21" s="5"/>
      <c r="E21" s="4"/>
      <c r="F21" s="4"/>
      <c r="G21" s="4"/>
      <c r="H21" s="5"/>
      <c r="I21" s="4"/>
      <c r="J21" s="5"/>
    </row>
    <row r="22" customFormat="false" ht="36" hidden="false" customHeight="true" outlineLevel="0" collapsed="false">
      <c r="A22" s="8"/>
      <c r="B22" s="8"/>
      <c r="C22" s="9"/>
      <c r="D22" s="9"/>
      <c r="E22" s="8"/>
      <c r="F22" s="8"/>
      <c r="G22" s="8"/>
      <c r="H22" s="9"/>
      <c r="I22" s="8"/>
      <c r="J22" s="9"/>
    </row>
    <row r="23" customFormat="false" ht="36" hidden="false" customHeight="true" outlineLevel="0" collapsed="false">
      <c r="A23" s="4"/>
      <c r="B23" s="4"/>
      <c r="C23" s="5"/>
      <c r="D23" s="5"/>
      <c r="E23" s="4"/>
      <c r="F23" s="4"/>
      <c r="G23" s="4"/>
      <c r="H23" s="5"/>
      <c r="I23" s="4"/>
      <c r="J23" s="5"/>
    </row>
    <row r="24" customFormat="false" ht="36" hidden="false" customHeight="true" outlineLevel="0" collapsed="false">
      <c r="A24" s="8"/>
      <c r="B24" s="8"/>
      <c r="C24" s="9"/>
      <c r="D24" s="9"/>
      <c r="E24" s="8"/>
      <c r="F24" s="8"/>
      <c r="G24" s="8"/>
      <c r="H24" s="9"/>
      <c r="I24" s="8"/>
      <c r="J24" s="9"/>
    </row>
    <row r="25" customFormat="false" ht="36" hidden="false" customHeight="true" outlineLevel="0" collapsed="false">
      <c r="A25" s="4"/>
      <c r="B25" s="4"/>
      <c r="C25" s="5"/>
      <c r="D25" s="5"/>
      <c r="E25" s="4"/>
      <c r="F25" s="4"/>
      <c r="G25" s="4"/>
      <c r="H25" s="5"/>
      <c r="I25" s="4"/>
      <c r="J25" s="5"/>
    </row>
    <row r="26" customFormat="false" ht="36" hidden="false" customHeight="true" outlineLevel="0" collapsed="false">
      <c r="A26" s="8"/>
      <c r="B26" s="8"/>
      <c r="C26" s="9"/>
      <c r="D26" s="9"/>
      <c r="E26" s="8"/>
      <c r="F26" s="8"/>
      <c r="G26" s="8"/>
      <c r="H26" s="9"/>
      <c r="I26" s="8"/>
      <c r="J26" s="9"/>
    </row>
    <row r="27" customFormat="false" ht="36" hidden="false" customHeight="true" outlineLevel="0" collapsed="false">
      <c r="A27" s="4"/>
      <c r="B27" s="4"/>
      <c r="C27" s="5"/>
      <c r="D27" s="5"/>
      <c r="E27" s="4"/>
      <c r="F27" s="4"/>
      <c r="G27" s="4"/>
      <c r="H27" s="5"/>
      <c r="I27" s="4"/>
      <c r="J27" s="5"/>
    </row>
    <row r="28" customFormat="false" ht="36" hidden="false" customHeight="true" outlineLevel="0" collapsed="false">
      <c r="A28" s="8"/>
      <c r="B28" s="8"/>
      <c r="C28" s="9"/>
      <c r="D28" s="9"/>
      <c r="E28" s="8"/>
      <c r="F28" s="8"/>
      <c r="G28" s="8"/>
      <c r="H28" s="9"/>
      <c r="I28" s="8"/>
      <c r="J28" s="9"/>
    </row>
    <row r="29" customFormat="false" ht="36" hidden="false" customHeight="true" outlineLevel="0" collapsed="false">
      <c r="A29" s="4"/>
      <c r="B29" s="4"/>
      <c r="C29" s="5"/>
      <c r="D29" s="5"/>
      <c r="E29" s="4"/>
      <c r="F29" s="4"/>
      <c r="G29" s="4"/>
      <c r="H29" s="5"/>
      <c r="I29" s="4"/>
      <c r="J29" s="5"/>
    </row>
  </sheetData>
  <mergeCells count="1">
    <mergeCell ref="A1:J1"/>
  </mergeCells>
  <dataValidations count="2">
    <dataValidation allowBlank="false" errorStyle="stop" operator="between" showDropDown="false" showErrorMessage="false" showInputMessage="false" sqref="E4:E29" type="list">
      <formula1>"High,Medium,Low"</formula1>
      <formula2>0</formula2>
    </dataValidation>
    <dataValidation allowBlank="false" errorStyle="stop" operator="between" showDropDown="false" showErrorMessage="false" showInputMessage="false" sqref="I4:I29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59" t="s">
        <v>98</v>
      </c>
      <c r="B1" s="59"/>
      <c r="C1" s="59"/>
      <c r="D1" s="59"/>
    </row>
    <row r="3" customFormat="false" ht="79.5" hidden="false" customHeight="true" outlineLevel="0" collapsed="false">
      <c r="A3" s="61" t="s">
        <v>99</v>
      </c>
      <c r="B3" s="62" t="s">
        <v>100</v>
      </c>
      <c r="C3" s="62"/>
      <c r="D3" s="62"/>
    </row>
    <row r="4" customFormat="false" ht="79.5" hidden="false" customHeight="true" outlineLevel="0" collapsed="false">
      <c r="A4" s="61" t="s">
        <v>101</v>
      </c>
      <c r="B4" s="62" t="s">
        <v>102</v>
      </c>
      <c r="C4" s="62"/>
      <c r="D4" s="62"/>
    </row>
    <row r="5" customFormat="false" ht="79.5" hidden="false" customHeight="true" outlineLevel="0" collapsed="false">
      <c r="A5" s="61" t="s">
        <v>103</v>
      </c>
      <c r="B5" s="62" t="s">
        <v>104</v>
      </c>
      <c r="C5" s="62"/>
      <c r="D5" s="62"/>
    </row>
    <row r="6" customFormat="false" ht="79.5" hidden="false" customHeight="true" outlineLevel="0" collapsed="false">
      <c r="A6" s="61" t="s">
        <v>105</v>
      </c>
      <c r="B6" s="62" t="s">
        <v>106</v>
      </c>
      <c r="C6" s="62"/>
      <c r="D6" s="62"/>
    </row>
  </sheetData>
  <mergeCells count="5">
    <mergeCell ref="A1:D1"/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2026-06-25T05:34:33Z</dcterms:created>
  <dc:creator>openpyxl</dc:creator>
  <dc:description/>
  <dc:language>en-US</dc:language>
  <cp:lastModifiedBy/>
  <dcterms:modified xsi:type="dcterms:W3CDTF">2026-06-25T05:34:33Z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